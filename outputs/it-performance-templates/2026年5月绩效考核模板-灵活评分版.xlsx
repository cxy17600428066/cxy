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c434165f6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" sheetId="1" r:id="R73dff4e5881b45aa"/>
    <x:sheet xmlns:r="http://schemas.openxmlformats.org/officeDocument/2006/relationships" name="测试" sheetId="2" r:id="R1ff5ca9f00f242f3"/>
    <x:sheet xmlns:r="http://schemas.openxmlformats.org/officeDocument/2006/relationships" name="前端" sheetId="3" r:id="Rcec08c17e25d45b0"/>
    <x:sheet xmlns:r="http://schemas.openxmlformats.org/officeDocument/2006/relationships" name="后端" sheetId="4" r:id="R1b7d744aa74b4adb"/>
    <x:sheet xmlns:r="http://schemas.openxmlformats.org/officeDocument/2006/relationships" name="全栈" sheetId="5" r:id="Re9769d5ae75945e6"/>
    <x:sheet xmlns:r="http://schemas.openxmlformats.org/officeDocument/2006/relationships" name="RPA" sheetId="6" r:id="Rb77b1c8cf764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6">
    <x:font>
      <x:sz val="11"/>
      <x:name val="Carlito"/>
    </x:font>
    <x:font>
      <x:sz val="10"/>
      <x:color rgb="FF222222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b/>
      <x:sz val="11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a5c14baf94793" /><Relationship Type="http://schemas.openxmlformats.org/officeDocument/2006/relationships/theme" Target="/xl/theme/theme1.xml" Id="R4d5d59961cde4f9a" /><Relationship Type="http://schemas.openxmlformats.org/officeDocument/2006/relationships/sharedStrings" Target="/xl/sharedStrings.xml" Id="Rb7121914f1bd4181" /><Relationship Type="http://schemas.openxmlformats.org/officeDocument/2006/relationships/worksheet" Target="/xl/worksheets/sheet1.xml" Id="R73dff4e5881b45aa" /><Relationship Type="http://schemas.openxmlformats.org/officeDocument/2006/relationships/worksheet" Target="/xl/worksheets/sheet2.xml" Id="R1ff5ca9f00f242f3" /><Relationship Type="http://schemas.openxmlformats.org/officeDocument/2006/relationships/worksheet" Target="/xl/worksheets/sheet3.xml" Id="Rcec08c17e25d45b0" /><Relationship Type="http://schemas.openxmlformats.org/officeDocument/2006/relationships/worksheet" Target="/xl/worksheets/sheet4.xml" Id="R1b7d744aa74b4adb" /><Relationship Type="http://schemas.openxmlformats.org/officeDocument/2006/relationships/worksheet" Target="/xl/worksheets/sheet5.xml" Id="Re9769d5ae75945e6" /><Relationship Type="http://schemas.openxmlformats.org/officeDocument/2006/relationships/worksheet" Target="/xl/worksheets/sheet6.xml" Id="Rb77b1c8cf76448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被考核岗位：产品工程师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需求交付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按期完成需求调研、PRD、原型及评审；以批准计划为准</x:v>
      </x:c>
      <x:c r="I5" s="17" t="str">
        <x:v>结合实际完成情况、工作难度、质量、影响及相关反馈综合评分</x:v>
      </x:c>
      <x:c r="J5" s="26" t="str">
        <x:v>产品/业务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需求质量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统计由需求定义问题造成的返工，不含开发实现缺陷</x:v>
      </x:c>
      <x:c r="I6" s="17" t="str">
        <x:v>结合实际完成情况、工作难度、质量、影响及相关反馈综合评分</x:v>
      </x:c>
      <x:c r="J6" s="26" t="str">
        <x:v>产品/研发/测试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项目推进</x:v>
      </x:c>
      <x:c r="E7" s="28" t="n">
        <x:v>0.2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跟进评审、排期、验收和上线，及时处理阻塞</x:v>
      </x:c>
      <x:c r="I7" s="17" t="str">
        <x:v>结合实际完成情况、工作难度、质量、影响及相关反馈综合评分</x:v>
      </x:c>
      <x:c r="J7" s="26" t="str">
        <x:v>项目负责人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业务价值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采用立项时约定的转化、效率、收入或成本指标</x:v>
      </x:c>
      <x:c r="I8" s="17" t="str">
        <x:v>结合实际完成情况、工作难度、质量、影响及相关反馈综合评分</x:v>
      </x:c>
      <x:c r="J8" s="26" t="str">
        <x:v>业务/数据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文档与数据</x:v>
      </x:c>
      <x:c r="E9" s="28" t="n">
        <x:v>0.1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PRD、原型、埋点、验收记录可追溯</x:v>
      </x:c>
      <x:c r="I9" s="17" t="str">
        <x:v>结合实际完成情况、工作难度、质量、影响及相关反馈综合评分</x:v>
      </x:c>
      <x:c r="J9" s="26" t="str">
        <x:v>产品/测试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协作与主动性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由直接主管结合业务方、研发和测试反馈评分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被考核岗位：测试工程师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测试任务交付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按计划完成测试方案、用例、执行和报告</x:v>
      </x:c>
      <x:c r="I5" s="17" t="str">
        <x:v>结合实际完成情况、工作难度、质量、影响及相关反馈综合评分</x:v>
      </x:c>
      <x:c r="J5" s="26" t="str">
        <x:v>测试负责人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缺陷发现质量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漏测须经产品、研发、测试共同复盘确认</x:v>
      </x:c>
      <x:c r="I6" s="17" t="str">
        <x:v>结合实际完成情况、工作难度、质量、影响及相关反馈综合评分</x:v>
      </x:c>
      <x:c r="J6" s="26" t="str">
        <x:v>产品/研发/测试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缺陷闭环效率</x:v>
      </x:c>
      <x:c r="E7" s="28" t="n">
        <x:v>0.15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跟踪缺陷修复、回归和关闭</x:v>
      </x:c>
      <x:c r="I7" s="17" t="str">
        <x:v>结合实际完成情况、工作难度、质量、影响及相关反馈综合评分</x:v>
      </x:c>
      <x:c r="J7" s="26" t="str">
        <x:v>缺陷平台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用例覆盖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核心流程、异常分支、兼容和权限场景覆盖</x:v>
      </x:c>
      <x:c r="I8" s="17" t="str">
        <x:v>结合实际完成情况、工作难度、质量、影响及相关反馈综合评分</x:v>
      </x:c>
      <x:c r="J8" s="26" t="str">
        <x:v>测试负责人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质量改进</x:v>
      </x:c>
      <x:c r="E9" s="28" t="n">
        <x:v>0.15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包括自动化用例、性能、安全、质量复盘等</x:v>
      </x:c>
      <x:c r="I9" s="17" t="str">
        <x:v>结合实际完成情况、工作难度、质量、影响及相关反馈综合评分</x:v>
      </x:c>
      <x:c r="J9" s="26" t="str">
        <x:v>测试负责人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协作与责任心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由直接主管结合项目成员反馈评分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被考核岗位：前端工程师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迭代交付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按排期完成开发、联调、自测和发布</x:v>
      </x:c>
      <x:c r="I5" s="17" t="str">
        <x:v>结合实际完成情况、工作难度、质量、影响及相关反馈综合评分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以缺陷归因结果为准</x:v>
      </x:c>
      <x:c r="I6" s="17" t="str">
        <x:v>结合实际完成情况、工作难度、质量、影响及相关反馈综合评分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还原与体验</x:v>
      </x:c>
      <x:c r="E7" s="28" t="n">
        <x:v>0.15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页面还原、交互、响应式和兼容性符合设计规范</x:v>
      </x:c>
      <x:c r="I7" s="17" t="str">
        <x:v>结合实际完成情况、工作难度、质量、影响及相关反馈综合评分</x:v>
      </x:c>
      <x:c r="J7" s="26" t="str">
        <x:v>产品/设计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关注首屏、资源体积、错误率和兼容性</x:v>
      </x:c>
      <x:c r="I8" s="17" t="str">
        <x:v>结合实际完成情况、工作难度、质量、影响及相关反馈综合评分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代码质量</x:v>
      </x:c>
      <x:c r="E9" s="28" t="n">
        <x:v>0.15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代码规范、可维护性、测试和评审质量</x:v>
      </x:c>
      <x:c r="I9" s="17" t="str">
        <x:v>结合实际完成情况、工作难度、质量、影响及相关反馈综合评分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跨端协作及公共能力建设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被考核岗位：后端工程师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迭代交付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按排期完成设计、开发、联调、自测和发布</x:v>
      </x:c>
      <x:c r="I5" s="17" t="str">
        <x:v>结合实际完成情况、工作难度、质量、影响及相关反馈综合评分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以缺陷归因和线上问题记录为准</x:v>
      </x:c>
      <x:c r="I6" s="17" t="str">
        <x:v>结合实际完成情况、工作难度、质量、影响及相关反馈综合评分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接口与数据质量</x:v>
      </x:c>
      <x:c r="E7" s="28" t="n">
        <x:v>0.15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接口规范、幂等、数据一致性和异常处理</x:v>
      </x:c>
      <x:c r="I7" s="17" t="str">
        <x:v>结合实际完成情况、工作难度、质量、影响及相关反馈综合评分</x:v>
      </x:c>
      <x:c r="J7" s="26" t="str">
        <x:v>前端/测试/数据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关注可用性、响应时间、错误率、容量和告警</x:v>
      </x:c>
      <x:c r="I8" s="17" t="str">
        <x:v>结合实际完成情况、工作难度、质量、影响及相关反馈综合评分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代码与架构质量</x:v>
      </x:c>
      <x:c r="E9" s="28" t="n">
        <x:v>0.15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代码规范、测试覆盖、可维护性和安全性</x:v>
      </x:c>
      <x:c r="I9" s="17" t="str">
        <x:v>结合实际完成情况、工作难度、质量、影响及相关反馈综合评分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跨团队协作及技术改进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被考核岗位：全栈工程师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端到端交付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独立或主导完成前后端设计、开发、联调、自测和发布</x:v>
      </x:c>
      <x:c r="I5" s="17" t="str">
        <x:v>结合实际完成情况、工作难度、质量、影响及相关反馈综合评分</x:v>
      </x:c>
      <x:c r="J5" s="26" t="str">
        <x:v>研发负责人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交付质量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按前后端综合归因统计</x:v>
      </x:c>
      <x:c r="I6" s="17" t="str">
        <x:v>结合实际完成情况、工作难度、质量、影响及相关反馈综合评分</x:v>
      </x:c>
      <x:c r="J6" s="26" t="str">
        <x:v>测试/运维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方案与一致性</x:v>
      </x:c>
      <x:c r="E7" s="28" t="n">
        <x:v>0.15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覆盖前端、后端、数据库、异常和兼容方案</x:v>
      </x:c>
      <x:c r="I7" s="17" t="str">
        <x:v>结合实际完成情况、工作难度、质量、影响及相关反馈综合评分</x:v>
      </x:c>
      <x:c r="J7" s="26" t="str">
        <x:v>技术负责人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性能与稳定性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关注页面、接口、数据库、错误率和告警</x:v>
      </x:c>
      <x:c r="I8" s="17" t="str">
        <x:v>结合实际完成情况、工作难度、质量、影响及相关反馈综合评分</x:v>
      </x:c>
      <x:c r="J8" s="26" t="str">
        <x:v>监控平台/运维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代码与测试</x:v>
      </x:c>
      <x:c r="E9" s="28" t="n">
        <x:v>0.15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前后端代码规范、自动化测试和可维护性</x:v>
      </x:c>
      <x:c r="I9" s="17" t="str">
        <x:v>结合实际完成情况、工作难度、质量、影响及相关反馈综合评分</x:v>
      </x:c>
      <x:c r="J9" s="26" t="str">
        <x:v>技术负责人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协作与改进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产品、测试、运维协作及技术沉淀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8" hidden="0" customWidth="1"/>
    <x:col min="5" max="5" width="8" hidden="0" customWidth="1"/>
    <x:col min="6" max="6" width="11" hidden="0" customWidth="1"/>
    <x:col min="7" max="7" width="48" hidden="0" customWidth="1"/>
    <x:col min="8" max="8" width="34" hidden="0" customWidth="1"/>
    <x:col min="9" max="9" width="25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5" t="str">
        <x:v>2026年 5 月度绩效考核表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3" t="str">
        <x:v>单位/部门：IT部</x:v>
      </x:c>
      <x:c r="B2" s="3"/>
      <x:c r="C2" s="3"/>
      <x:c r="D2" s="3"/>
      <x:c r="E2" s="3" t="str">
        <x:v>负责人：</x:v>
      </x:c>
      <x:c r="F2" s="3"/>
      <x:c r="G2" s="3" t="str">
        <x:v>考核周期：2026.5.1-2026.5.31</x:v>
      </x:c>
      <x:c r="H2" s="3"/>
      <x:c r="I2" s="3"/>
      <x:c r="J2" s="3" t="str">
        <x:v>签订日期：</x:v>
      </x:c>
      <x:c r="K2" s="3"/>
      <x:c r="L2" s="3"/>
    </x:row>
    <x:row r="3" ht="24" customHeight="1">
      <x:c r="A3" s="7" t="str">
        <x:v>绩 效 计 划 确 认</x:v>
      </x:c>
      <x:c r="B3" s="7"/>
      <x:c r="C3" s="7"/>
      <x:c r="D3" s="7"/>
      <x:c r="E3" s="7" t="str">
        <x:v>被考核岗位：RPA工程师</x:v>
      </x:c>
      <x:c r="F3" s="7"/>
      <x:c r="G3" s="7" t="str">
        <x:v>被考核人：</x:v>
      </x:c>
      <x:c r="H3" s="7" t="str">
        <x:v>直接主管：</x:v>
      </x:c>
      <x:c r="I3" s="7"/>
      <x:c r="J3" s="7" t="str">
        <x:v>间接主管：</x:v>
      </x:c>
      <x:c r="K3" s="7"/>
      <x:c r="L3" s="7"/>
    </x:row>
    <x:row r="4" ht="34" customHeight="1">
      <x:c r="A4" s="16" t="str">
        <x:v>类别</x:v>
      </x:c>
      <x:c r="B4" s="16" t="str">
        <x:v>序号</x:v>
      </x:c>
      <x:c r="C4" s="16" t="str">
        <x:v>指标类型</x:v>
      </x:c>
      <x:c r="D4" s="16" t="str">
        <x:v>指标名称</x:v>
      </x:c>
      <x:c r="E4" s="16" t="str">
        <x:v>权重</x:v>
      </x:c>
      <x:c r="F4" s="16" t="str">
        <x:v>目标值</x:v>
      </x:c>
      <x:c r="G4" s="16" t="str">
        <x:v>评分标准（0–100分）</x:v>
      </x:c>
      <x:c r="H4" s="16" t="str">
        <x:v>指标定义</x:v>
      </x:c>
      <x:c r="I4" s="16" t="str">
        <x:v>核算公式</x:v>
      </x:c>
      <x:c r="J4" s="16" t="str">
        <x:v>数据提供</x:v>
      </x:c>
      <x:c r="K4" s="16" t="str">
        <x:v>实际绩效/得分</x:v>
      </x:c>
      <x:c r="L4" s="16" t="str">
        <x:v>折算分</x:v>
      </x:c>
    </x:row>
    <x:row r="5" ht="72" customHeight="1">
      <x:c r="A5" s="26" t="str">
        <x:v>KPI
关键业绩指标</x:v>
      </x:c>
      <x:c r="B5" s="26" t="n">
        <x:v>1</x:v>
      </x:c>
      <x:c r="C5" s="26" t="str">
        <x:v>岗位指标</x:v>
      </x:c>
      <x:c r="D5" s="26" t="str">
        <x:v>流程交付</x:v>
      </x:c>
      <x:c r="E5" s="28" t="n">
        <x:v>0.25</x:v>
      </x:c>
      <x:c r="F5" s="26" t="str">
        <x:v>结合当月工作安排</x:v>
      </x:c>
      <x:c r="G5" s="17" t="str">
        <x:v>完成情况突出，质量和及时性较好，可评90–100分；整体达到要求，可评75–89分；部分未达到预期，可评60–74分；差距较大，可评60分以下。</x:v>
      </x:c>
      <x:c r="H5" s="17" t="str">
        <x:v>按计划完成流程分析、开发、测试、部署和文档</x:v>
      </x:c>
      <x:c r="I5" s="17" t="str">
        <x:v>结合实际完成情况、工作难度、质量、影响及相关反馈综合评分</x:v>
      </x:c>
      <x:c r="J5" s="26" t="str">
        <x:v>项目负责人</x:v>
      </x:c>
      <x:c r="K5" s="29"/>
      <x:c r="L5" s="30" t="str">
        <x:f>IF(K5="","",ROUND(K5*E5/100,2))</x:f>
      </x:c>
    </x:row>
    <x:row r="6" ht="72" customHeight="1">
      <x:c r="A6" s="26" t="str"/>
      <x:c r="B6" s="26" t="n">
        <x:v>2</x:v>
      </x:c>
      <x:c r="C6" s="26" t="str">
        <x:v>岗位指标</x:v>
      </x:c>
      <x:c r="D6" s="26" t="str">
        <x:v>运行成功率</x:v>
      </x:c>
      <x:c r="E6" s="28" t="n">
        <x:v>0.2</x:v>
      </x:c>
      <x:c r="F6" s="26" t="str">
        <x:v>结合当月工作安排</x:v>
      </x:c>
      <x:c r="G6" s="17" t="str">
        <x:v>工作成果质量较好、问题较少，可评90–100分；存在少量问题但不影响整体交付，可评75–89分；问题较多或需要返工，可评60–74分；对交付造成明显影响，可评60分以下。</x:v>
      </x:c>
      <x:c r="H6" s="17" t="str">
        <x:v>剔除已确认的外部系统不可用和业务主动中止</x:v>
      </x:c>
      <x:c r="I6" s="17" t="str">
        <x:v>结合实际完成情况、工作难度、质量、影响及相关反馈综合评分</x:v>
      </x:c>
      <x:c r="J6" s="26" t="str">
        <x:v>RPA平台/运维</x:v>
      </x:c>
      <x:c r="K6" s="29"/>
      <x:c r="L6" s="30" t="str">
        <x:f>IF(K6="","",ROUND(K6*E6/100,2))</x:f>
      </x:c>
    </x:row>
    <x:row r="7" ht="72" customHeight="1">
      <x:c r="A7" s="26" t="str"/>
      <x:c r="B7" s="26" t="n">
        <x:v>3</x:v>
      </x:c>
      <x:c r="C7" s="26" t="str">
        <x:v>岗位指标</x:v>
      </x:c>
      <x:c r="D7" s="26" t="str">
        <x:v>异常响应与恢复</x:v>
      </x:c>
      <x:c r="E7" s="28" t="n">
        <x:v>0.15</x:v>
      </x:c>
      <x:c r="F7" s="26" t="str">
        <x:v>结合当月工作安排</x:v>
      </x:c>
      <x:c r="G7" s="17" t="str">
        <x:v>推进顺畅、关键事项闭环较好，可评90–100分；基本按要求完成，可评75–89分；推进或闭环存在不足，可评60–74分；多次影响项目进展，可评60分以下。</x:v>
      </x:c>
      <x:c r="H7" s="17" t="str">
        <x:v>按约定SLA统计告警确认、定位和恢复</x:v>
      </x:c>
      <x:c r="I7" s="17" t="str">
        <x:v>结合实际完成情况、工作难度、质量、影响及相关反馈综合评分</x:v>
      </x:c>
      <x:c r="J7" s="26" t="str">
        <x:v>运维/业务</x:v>
      </x:c>
      <x:c r="K7" s="29"/>
      <x:c r="L7" s="30" t="str">
        <x:f>IF(K7="","",ROUND(K7*E7/100,2))</x:f>
      </x:c>
    </x:row>
    <x:row r="8" ht="72" customHeight="1">
      <x:c r="A8" s="26" t="str"/>
      <x:c r="B8" s="26" t="n">
        <x:v>4</x:v>
      </x:c>
      <x:c r="C8" s="26" t="str">
        <x:v>岗位指标</x:v>
      </x:c>
      <x:c r="D8" s="26" t="str">
        <x:v>自动化效益</x:v>
      </x:c>
      <x:c r="E8" s="28" t="n">
        <x:v>0.15</x:v>
      </x:c>
      <x:c r="F8" s="26" t="str">
        <x:v>结合当月工作安排</x:v>
      </x:c>
      <x:c r="G8" s="17" t="str">
        <x:v>实际效果较好并对业务或项目有明显帮助，可评90–100分；达到基本预期，可评75–89分；效果一般，可评60–74分；未体现明显效果，可评60分以下。</x:v>
      </x:c>
      <x:c r="H8" s="17" t="str">
        <x:v>以立项基线和业务确认结果为准</x:v>
      </x:c>
      <x:c r="I8" s="17" t="str">
        <x:v>结合实际完成情况、工作难度、质量、影响及相关反馈综合评分</x:v>
      </x:c>
      <x:c r="J8" s="26" t="str">
        <x:v>业务/财务</x:v>
      </x:c>
      <x:c r="K8" s="29"/>
      <x:c r="L8" s="30" t="str">
        <x:f>IF(K8="","",ROUND(K8*E8/100,2))</x:f>
      </x:c>
    </x:row>
    <x:row r="9" ht="72" customHeight="1">
      <x:c r="A9" s="26" t="str"/>
      <x:c r="B9" s="26" t="n">
        <x:v>5</x:v>
      </x:c>
      <x:c r="C9" s="26" t="str">
        <x:v>岗位指标</x:v>
      </x:c>
      <x:c r="D9" s="26" t="str">
        <x:v>规范与可维护性</x:v>
      </x:c>
      <x:c r="E9" s="28" t="n">
        <x:v>0.15</x:v>
      </x:c>
      <x:c r="F9" s="26" t="str">
        <x:v>结合当月工作安排</x:v>
      </x:c>
      <x:c r="G9" s="17" t="str">
        <x:v>执行规范、成果完整、可维护性较好，可评90–100分；基本符合要求，可评75–89分；存在一定缺失或改进空间，可评60–74分；问题较明显，可评60分以下。</x:v>
      </x:c>
      <x:c r="H9" s="17" t="str">
        <x:v>流程可监控、可回滚、可交接，不明文保存敏感信息</x:v>
      </x:c>
      <x:c r="I9" s="17" t="str">
        <x:v>结合实际完成情况、工作难度、质量、影响及相关反馈综合评分</x:v>
      </x:c>
      <x:c r="J9" s="26" t="str">
        <x:v>技术负责人/安全</x:v>
      </x:c>
      <x:c r="K9" s="29"/>
      <x:c r="L9" s="30" t="str">
        <x:f>IF(K9="","",ROUND(K9*E9/100,2))</x:f>
      </x:c>
    </x:row>
    <x:row r="10" ht="72" customHeight="1">
      <x:c r="A10" s="26" t="str"/>
      <x:c r="B10" s="26" t="n">
        <x:v>6</x:v>
      </x:c>
      <x:c r="C10" s="26" t="str">
        <x:v>岗位指标</x:v>
      </x:c>
      <x:c r="D10" s="26" t="str">
        <x:v>协作与持续改进</x:v>
      </x:c>
      <x:c r="E10" s="28" t="n">
        <x:v>0.1</x:v>
      </x:c>
      <x:c r="F10" s="26" t="str">
        <x:v>结合当月工作安排</x:v>
      </x:c>
      <x:c r="G10" s="17" t="str">
        <x:v>主动性、责任心和协作表现较好，可评90–100分；日常配合基本到位，可评75–89分；响应或配合存在不足，可评60–74分；多次影响协作，可评60分以下。</x:v>
      </x:c>
      <x:c r="H10" s="17" t="str">
        <x:v>业务协作、组件沉淀及流程优化</x:v>
      </x:c>
      <x:c r="I10" s="17" t="str">
        <x:v>结合实际完成情况、工作难度、质量、影响及相关反馈综合评分</x:v>
      </x:c>
      <x:c r="J10" s="26" t="str">
        <x:v>直接主管</x:v>
      </x:c>
      <x:c r="K10" s="29"/>
      <x:c r="L10" s="30" t="str">
        <x:f>IF(K10="","",ROUND(K10*E10/100,2))</x:f>
      </x:c>
    </x:row>
    <x:row r="11" ht="28" customHeight="1">
      <x:c r="A11" s="18" t="str">
        <x:v>扣分项</x:v>
      </x:c>
      <x:c r="B11" s="18"/>
      <x:c r="C11" s="18"/>
      <x:c r="D11" s="18" t="str">
        <x:v>扣分事由</x:v>
      </x:c>
      <x:c r="E11" s="18"/>
      <x:c r="F11" s="18"/>
      <x:c r="G11" s="18" t="str">
        <x:v>扣分条件</x:v>
      </x:c>
      <x:c r="H11" s="18"/>
      <x:c r="I11" s="18" t="str">
        <x:v>扣分规则</x:v>
      </x:c>
      <x:c r="J11" s="18" t="str">
        <x:v>数据依据</x:v>
      </x:c>
      <x:c r="K11" s="18" t="str">
        <x:v>扣分值</x:v>
      </x:c>
      <x:c r="L11" s="24" t="str">
        <x:v>扣分</x:v>
      </x:c>
    </x:row>
    <x:row r="12" ht="58" customHeight="1">
      <x:c r="A12" s="26" t="str">
        <x:v>扣分项</x:v>
      </x:c>
      <x:c r="B12" s="26" t="n">
        <x:v>1</x:v>
      </x:c>
      <x:c r="C12" s="26" t="str">
        <x:v>专项扣分</x:v>
      </x:c>
      <x:c r="D12" s="26" t="str">
        <x:v>重大事故</x:v>
      </x:c>
      <x:c r="E12" s="26"/>
      <x:c r="F12" s="26"/>
      <x:c r="G12" s="17" t="str">
        <x:v>因个人责任造成较大业务、系统、数据或安全影响</x:v>
      </x:c>
      <x:c r="H12" s="17"/>
      <x:c r="I12" s="17" t="str">
        <x:v>视影响范围和责任程度建议扣10–50分</x:v>
      </x:c>
      <x:c r="J12" s="26" t="str">
        <x:v>事故复盘/信息安全记录</x:v>
      </x:c>
      <x:c r="K12" s="31"/>
      <x:c r="L12" s="30" t="str">
        <x:f>IF(K12="","",-ABS(K12))</x:f>
      </x:c>
    </x:row>
    <x:row r="13" ht="58" customHeight="1">
      <x:c r="A13" s="26" t="str"/>
      <x:c r="B13" s="26" t="n">
        <x:v>2</x:v>
      </x:c>
      <x:c r="C13" s="26" t="str">
        <x:v>专项扣分</x:v>
      </x:c>
      <x:c r="D13" s="26" t="str">
        <x:v>流程违规</x:v>
      </x:c>
      <x:c r="E13" s="26"/>
      <x:c r="F13" s="26"/>
      <x:c r="G13" s="17" t="str">
        <x:v>存在发布、评审、测试、权限或操作流程方面的不规范情况</x:v>
      </x:c>
      <x:c r="H13" s="17"/>
      <x:c r="I13" s="17" t="str">
        <x:v>视情节和影响程度建议扣3–20分</x:v>
      </x:c>
      <x:c r="J13" s="26" t="str">
        <x:v>发布记录/审计记录</x:v>
      </x:c>
      <x:c r="K13" s="31"/>
      <x:c r="L13" s="30" t="str">
        <x:f>IF(K13="","",-ABS(K13))</x:f>
      </x:c>
    </x:row>
    <x:row r="14" ht="58" customHeight="1">
      <x:c r="A14" s="26" t="str"/>
      <x:c r="B14" s="26" t="n">
        <x:v>3</x:v>
      </x:c>
      <x:c r="C14" s="26" t="str">
        <x:v>专项扣分</x:v>
      </x:c>
      <x:c r="D14" s="26" t="str">
        <x:v>工作纪律与重复问题</x:v>
      </x:c>
      <x:c r="E14" s="26"/>
      <x:c r="F14" s="26"/>
      <x:c r="G14" s="17" t="str">
        <x:v>存在工作逾期、沟通不及时、重复问题或记录不完整等情况</x:v>
      </x:c>
      <x:c r="H14" s="17"/>
      <x:c r="I14" s="17" t="str">
        <x:v>视发生频次和实际影响建议扣1–10分</x:v>
      </x:c>
      <x:c r="J14" s="26" t="str">
        <x:v>项目记录/主管确认</x:v>
      </x:c>
      <x:c r="K14" s="31"/>
      <x:c r="L14" s="30" t="str">
        <x:f>IF(K14="","",-ABS(K14))</x:f>
      </x:c>
    </x:row>
    <x:row r="15" ht="30" customHeight="1">
      <x:c r="A15" s="27" t="str">
        <x:v>绩效总分（满分100分；扣分后最低0分）：</x:v>
      </x:c>
      <x:c r="B15" s="27"/>
      <x:c r="C15" s="27"/>
      <x:c r="D15" s="27"/>
      <x:c r="E15" s="27"/>
      <x:c r="F15" s="27"/>
      <x:c r="G15" s="19"/>
      <x:c r="H15" s="19"/>
      <x:c r="I15" s="19"/>
      <x:c r="J15" s="27"/>
      <x:c r="K15" s="27" t="n">
        <x:f>MAX(0,SUM(L5:L10)+SUM(L12:L14))</x:f>
        <x:v>0</x:v>
      </x:c>
      <x:c r="L15" s="32"/>
    </x:row>
    <x:row r="16" ht="44" customHeight="1">
      <x:c r="A16" s="17" t="str">
        <x:v>被考核人意见：</x:v>
      </x:c>
      <x:c r="B16" s="17"/>
      <x:c r="C16" s="17"/>
      <x:c r="D16" s="17"/>
      <x:c r="E16" s="17"/>
      <x:c r="F16" s="17"/>
      <x:c r="G16" s="17" t="str">
        <x:v>被考核人签字：</x:v>
      </x:c>
      <x:c r="H16" s="17"/>
      <x:c r="I16" s="17"/>
      <x:c r="J16" s="17" t="str">
        <x:v>年    月    日</x:v>
      </x:c>
      <x:c r="K16" s="17"/>
      <x:c r="L16" s="17"/>
    </x:row>
    <x:row r="17" ht="44" customHeight="1">
      <x:c r="A17" s="17" t="str">
        <x:v>考核人意见：</x:v>
      </x:c>
      <x:c r="B17" s="17"/>
      <x:c r="C17" s="17"/>
      <x:c r="D17" s="17"/>
      <x:c r="E17" s="17"/>
      <x:c r="F17" s="17"/>
      <x:c r="G17" s="17" t="str">
        <x:v>考核人签字：</x:v>
      </x:c>
      <x:c r="H17" s="17"/>
      <x:c r="I17" s="17"/>
      <x:c r="J17" s="17" t="str">
        <x:v>年    月    日</x:v>
      </x:c>
      <x:c r="K17" s="17"/>
      <x:c r="L17" s="17"/>
    </x:row>
    <x:row r="18" ht="44" customHeight="1">
      <x:c r="A18" s="17" t="str">
        <x:v>间接主管意见：</x:v>
      </x:c>
      <x:c r="B18" s="17"/>
      <x:c r="C18" s="17"/>
      <x:c r="D18" s="17"/>
      <x:c r="E18" s="17"/>
      <x:c r="F18" s="17"/>
      <x:c r="G18" s="17" t="str">
        <x:v>间接主管签字：</x:v>
      </x:c>
      <x:c r="H18" s="17"/>
      <x:c r="I18" s="17"/>
      <x:c r="J18" s="17" t="str">
        <x:v>年    月    日</x:v>
      </x:c>
      <x:c r="K18" s="17"/>
      <x:c r="L18" s="17"/>
    </x:row>
  </x:sheetData>
  <x:mergeCells>
    <x:mergeCell ref="A1:L1"/>
    <x:mergeCell ref="A2:C2"/>
    <x:mergeCell ref="E2:F2"/>
    <x:mergeCell ref="G2:I2"/>
    <x:mergeCell ref="J2:L2"/>
    <x:mergeCell ref="A3:D3"/>
    <x:mergeCell ref="E3:F3"/>
    <x:mergeCell ref="H3:I3"/>
    <x:mergeCell ref="J3:L3"/>
    <x:mergeCell ref="A15:J15"/>
    <x:mergeCell ref="K15:L15"/>
    <x:mergeCell ref="A16:F16"/>
    <x:mergeCell ref="G16:I16"/>
    <x:mergeCell ref="J16:L16"/>
    <x:mergeCell ref="A17:F17"/>
    <x:mergeCell ref="G17:I17"/>
    <x:mergeCell ref="J17:L17"/>
    <x:mergeCell ref="A18:F18"/>
    <x:mergeCell ref="G18:I18"/>
    <x:mergeCell ref="J18:L18"/>
    <x:mergeCell ref="A5:A10"/>
    <x:mergeCell ref="A12:A14"/>
  </x:mergeCells>
  <x:dataValidations count="2">
    <x:dataValidation type="whole" operator="between" sqref="K5:K10">
      <x:formula1>0</x:formula1>
      <x:formula2>100</x:formula2>
    </x:dataValidation>
    <x:dataValidation type="whole" operator="between" sqref="K12:K14">
      <x:formula1>0</x:formula1>
      <x:formula2>100</x:formula2>
    </x:dataValidation>
  </x:dataValidations>
  <x:pageMargins left="0.7" right="0.7" top="0.75" bottom="0.75" header="0.3" footer="0.3"/>
</x:worksheet>
</file>